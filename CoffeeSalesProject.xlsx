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91745\Desktop\New folder\Projects\Excel\"/>
    </mc:Choice>
  </mc:AlternateContent>
  <xr:revisionPtr revIDLastSave="0" documentId="13_ncr:1_{C645518F-9BA9-4090-8370-86C4ADF30F8E}"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Country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M56"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<sst xmlns="http://schemas.openxmlformats.org/spreadsheetml/2006/main" count="11128" uniqueCount="6220">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</sst>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7" formatCode="_([$$-409]* #,##0.00_);_([$$-409]* \(#,##0.00\);_([$$-409]*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1" applyNumberFormat="1" applyFont="1"/>
    <xf numFmtId="0" fontId="0" fillId="0" borderId="0" xfId="0" pivotButton="1"/>
    <xf numFmtId="165" fontId="0" fillId="0" borderId="0" xfId="0" applyNumberFormat="1"/>
    <xf numFmtId="0" fontId="0" fillId="0" borderId="0" xfId="0" applyNumberFormat="1"/>
    <xf numFmtId="3" fontId="0" fillId="0" borderId="0" xfId="0" applyNumberFormat="1"/>
  </cellXfs>
  <cellStyles count="2">
    <cellStyle name="Currency" xfId="1" builtinId="4"/>
    <cellStyle name="Normal" xfId="0" builtinId="0"/>
  </cellStyles>
  <dxfs count="14">
    <dxf>
      <numFmt numFmtId="0" formatCode="General"/>
    </dxf>
    <dxf>
      <font>
        <b val="0"/>
        <i val="0"/>
        <strike val="0"/>
        <condense val="0"/>
        <extend val="0"/>
        <outline val="0"/>
        <shadow val="0"/>
        <u val="none"/>
        <vertAlign val="baseline"/>
        <sz val="11"/>
        <color theme="1"/>
        <name val="Calibri"/>
        <family val="2"/>
        <scheme val="minor"/>
      </font>
      <numFmt numFmtId="167" formatCode="_([$$-409]* #,##0.00_);_([$$-409]* \(#,##0.00\);_([$$-409]* &quot;-&quot;??_);_(@_)"/>
    </dxf>
    <dxf>
      <font>
        <b val="0"/>
        <i val="0"/>
        <strike val="0"/>
        <condense val="0"/>
        <extend val="0"/>
        <outline val="0"/>
        <shadow val="0"/>
        <u val="none"/>
        <vertAlign val="baseline"/>
        <sz val="11"/>
        <color theme="1"/>
        <name val="Calibri"/>
        <family val="2"/>
        <scheme val="minor"/>
      </font>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Timeline Style 1" pivot="0" table="0" count="8" xr9:uid="{7554E9EB-BD49-4D5B-AC0D-CFD2E661204A}">
      <tableStyleElement type="wholeTable" dxfId="13"/>
      <tableStyleElement type="headerRow" dxfId="12"/>
    </tableStyle>
  </tableStyles>
  <colors>
    <mruColors>
      <color rgb="FFFFC775"/>
      <color rgb="FFFFFF00"/>
      <color rgb="FF8B6E46"/>
      <color rgb="FF8D5E2F"/>
      <color rgb="FF996633"/>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8"/>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0442444694417"/>
          <c:y val="5.4475211738251338E-2"/>
          <c:w val="0.81150403074615673"/>
          <c:h val="0.8217851268548948"/>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1EA-4FF7-A73C-69CD4132D24E}"/>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1EA-4FF7-A73C-69CD4132D24E}"/>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1EA-4FF7-A73C-69CD4132D24E}"/>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1EA-4FF7-A73C-69CD4132D24E}"/>
            </c:ext>
          </c:extLst>
        </c:ser>
        <c:dLbls>
          <c:showLegendKey val="0"/>
          <c:showVal val="0"/>
          <c:showCatName val="0"/>
          <c:showSerName val="0"/>
          <c:showPercent val="0"/>
          <c:showBubbleSize val="0"/>
        </c:dLbls>
        <c:smooth val="0"/>
        <c:axId val="987795840"/>
        <c:axId val="987795008"/>
      </c:lineChart>
      <c:catAx>
        <c:axId val="9877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95008"/>
        <c:crosses val="autoZero"/>
        <c:auto val="1"/>
        <c:lblAlgn val="ctr"/>
        <c:lblOffset val="100"/>
        <c:noMultiLvlLbl val="0"/>
      </c:catAx>
      <c:valAx>
        <c:axId val="98779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9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[CoffeeSalesProject.xlsx]Top5Customers!TotalSales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4567-4CDE-9A47-68732585F229}"/>
            </c:ext>
          </c:extLst>
        </c:ser>
        <c:dLbls>
          <c:showLegendKey val="0"/>
          <c:showVal val="0"/>
          <c:showCatName val="0"/>
          <c:showSerName val="0"/>
          <c:showPercent val="0"/>
          <c:showBubbleSize val="0"/>
        </c:dLbls>
        <c:gapWidth val="182"/>
        <c:axId val="1040014032"/>
        <c:axId val="1040016112"/>
      </c:barChart>
      <c:catAx>
        <c:axId val="104001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16112"/>
        <c:crosses val="autoZero"/>
        <c:auto val="1"/>
        <c:lblAlgn val="ctr"/>
        <c:lblOffset val="100"/>
        <c:noMultiLvlLbl val="0"/>
      </c:catAx>
      <c:valAx>
        <c:axId val="104001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[CoffeeSalesProject.xlsx]CountryChart!TotalSales</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4.9791557305336832E-2"/>
          <c:y val="0.106481481481481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00B0F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C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00B0F0"/>
          </a:solidFill>
          <a:ln w="19050">
            <a:solidFill>
              <a:schemeClr val="lt1"/>
            </a:solidFill>
          </a:ln>
          <a:effectLst/>
        </c:spPr>
      </c:pivotFmt>
    </c:pivotFmts>
    <c:plotArea>
      <c:layout/>
      <c:pieChart>
        <c:varyColors val="1"/>
        <c:ser>
          <c:idx val="0"/>
          <c:order val="0"/>
          <c:tx>
            <c:strRef>
              <c:f>CountryChart!$B$3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3971-4372-A19A-0D3EDF6F32F3}"/>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3971-4372-A19A-0D3EDF6F32F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971-4372-A19A-0D3EDF6F32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CountryChart!$A$4:$A$6</c:f>
              <c:strCache>
                <c:ptCount val="3"/>
                <c:pt idx="0">
                  <c:v>United Kingdom</c:v>
                </c:pt>
                <c:pt idx="1">
                  <c:v>Ireland</c:v>
                </c:pt>
                <c:pt idx="2">
                  <c:v>United States</c:v>
                </c:pt>
              </c:strCache>
            </c:strRef>
          </c:cat>
          <c:val>
            <c:numRef>
              <c:f>CountryChart!$B$4:$B$6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971-4372-A19A-0D3EDF6F32F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ADF-4A2E-9770-060BA006A635}"/>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ADF-4A2E-9770-060BA006A635}"/>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ADF-4A2E-9770-060BA006A635}"/>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ADF-4A2E-9770-060BA006A635}"/>
            </c:ext>
          </c:extLst>
        </c:ser>
        <c:dLbls>
          <c:showLegendKey val="0"/>
          <c:showVal val="0"/>
          <c:showCatName val="0"/>
          <c:showSerName val="0"/>
          <c:showPercent val="0"/>
          <c:showBubbleSize val="0"/>
        </c:dLbls>
        <c:smooth val="0"/>
        <c:axId val="987795840"/>
        <c:axId val="987795008"/>
      </c:lineChart>
      <c:catAx>
        <c:axId val="98779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95008"/>
        <c:crosses val="autoZero"/>
        <c:auto val="1"/>
        <c:lblAlgn val="ctr"/>
        <c:lblOffset val="100"/>
        <c:noMultiLvlLbl val="0"/>
      </c:catAx>
      <c:valAx>
        <c:axId val="98779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79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[CoffeeSalesProject.xlsx]CountryChart!TotalSales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4.9791557305336832E-2"/>
          <c:y val="0.106481481481481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F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92D050"/>
          </a:solidFill>
          <a:ln w="19050">
            <a:solidFill>
              <a:schemeClr val="lt1"/>
            </a:solidFill>
          </a:ln>
          <a:effectLst/>
        </c:spPr>
      </c:pivotFmt>
    </c:pivotFmts>
    <c:plotArea>
      <c:layout/>
      <c:pieChart>
        <c:varyColors val="1"/>
        <c:ser>
          <c:idx val="0"/>
          <c:order val="0"/>
          <c:tx>
            <c:strRef>
              <c:f>CountryChart!$B$3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3-A27A-4752-82D5-242C7CDF3FB8}"/>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4-A27A-4752-82D5-242C7CDF3FB8}"/>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2-A27A-4752-82D5-242C7CDF3FB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CountryChart!$A$4:$A$6</c:f>
              <c:strCache>
                <c:ptCount val="3"/>
                <c:pt idx="0">
                  <c:v>United Kingdom</c:v>
                </c:pt>
                <c:pt idx="1">
                  <c:v>Ireland</c:v>
                </c:pt>
                <c:pt idx="2">
                  <c:v>United States</c:v>
                </c:pt>
              </c:strCache>
            </c:strRef>
          </c:cat>
          <c:val>
            <c:numRef>
              <c:f>CountryChart!$B$4:$B$6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27A-4752-82D5-242C7CDF3FB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[CoffeeSalesProject.xlsx]Top5Customers!TotalSales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451-47CD-8B63-98170DBA310B}"/>
            </c:ext>
          </c:extLst>
        </c:ser>
        <c:dLbls>
          <c:showLegendKey val="0"/>
          <c:showVal val="0"/>
          <c:showCatName val="0"/>
          <c:showSerName val="0"/>
          <c:showPercent val="0"/>
          <c:showBubbleSize val="0"/>
        </c:dLbls>
        <c:gapWidth val="182"/>
        <c:axId val="1040014032"/>
        <c:axId val="1040016112"/>
      </c:barChart>
      <c:catAx>
        <c:axId val="104001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16112"/>
        <c:crosses val="autoZero"/>
        <c:auto val="1"/>
        <c:lblAlgn val="ctr"/>
        <c:lblOffset val="100"/>
        <c:noMultiLvlLbl val="0"/>
      </c:catAx>
      <c:valAx>
        <c:axId val="104001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0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17</xdr:col>
      <xdr:colOff>0</xdr:colOff>
      <xdr:row>17</xdr:row>
      <xdr:rowOff>0</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E4E6B313-ACDC-41F5-96FE-4A753C9EA24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55579" y="1189789"/>
              <a:ext cx="8609263" cy="18047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12</xdr:row>
      <xdr:rowOff>0</xdr:rowOff>
    </xdr:from>
    <xdr:to>
      <xdr:col>22</xdr:col>
      <xdr:colOff>1</xdr:colOff>
      <xdr:row>17</xdr:row>
      <xdr:rowOff>1</xdr:rowOff>
    </xdr:to>
    <mc:AlternateContent xmlns:mc="http://schemas.openxmlformats.org/markup-compatibility/2006">
      <mc:Choice xmlns:a14="http://schemas.microsoft.com/office/drawing/2010/main" Requires="a14">
        <xdr:graphicFrame macro="">
          <xdr:nvGraphicFramePr>
            <xdr:cNvPr id="9" name="Size">
              <a:extLst>
                <a:ext uri="{FF2B5EF4-FFF2-40B4-BE49-F238E27FC236}">
                  <a16:creationId xmlns:a16="http://schemas.microsoft.com/office/drawing/2014/main" id="{3A500219-4FD3-429F-AAC0-6FEA8670DAD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585158" y="2058737"/>
              <a:ext cx="2459790" cy="935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13368</xdr:colOff>
      <xdr:row>12</xdr:row>
      <xdr:rowOff>0</xdr:rowOff>
    </xdr:from>
    <xdr:to>
      <xdr:col>26</xdr:col>
      <xdr:colOff>13368</xdr:colOff>
      <xdr:row>17</xdr:row>
      <xdr:rowOff>3450</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49CC0A63-440C-4934-998F-FC2D6A30C40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178631" y="2058737"/>
              <a:ext cx="1844842" cy="939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7</xdr:row>
      <xdr:rowOff>0</xdr:rowOff>
    </xdr:from>
    <xdr:to>
      <xdr:col>26</xdr:col>
      <xdr:colOff>1</xdr:colOff>
      <xdr:row>10</xdr:row>
      <xdr:rowOff>177996</xdr:rowOff>
    </xdr:to>
    <mc:AlternateContent xmlns:mc="http://schemas.openxmlformats.org/markup-compatibility/2006">
      <mc:Choice xmlns:a14="http://schemas.microsoft.com/office/drawing/2010/main" Requires="a14">
        <xdr:graphicFrame macro="">
          <xdr:nvGraphicFramePr>
            <xdr:cNvPr id="11" name="Roast Type Name">
              <a:extLst>
                <a:ext uri="{FF2B5EF4-FFF2-40B4-BE49-F238E27FC236}">
                  <a16:creationId xmlns:a16="http://schemas.microsoft.com/office/drawing/2014/main" id="{96ECE74A-993C-42FF-BEE2-42F06FA8115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585158" y="1189789"/>
              <a:ext cx="4424948" cy="739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xdr:row>
      <xdr:rowOff>2490</xdr:rowOff>
    </xdr:from>
    <xdr:to>
      <xdr:col>27</xdr:col>
      <xdr:colOff>0</xdr:colOff>
      <xdr:row>6</xdr:row>
      <xdr:rowOff>0</xdr:rowOff>
    </xdr:to>
    <xdr:sp macro="" textlink="">
      <xdr:nvSpPr>
        <xdr:cNvPr id="12" name="Rectangle 11">
          <a:extLst>
            <a:ext uri="{FF2B5EF4-FFF2-40B4-BE49-F238E27FC236}">
              <a16:creationId xmlns:a16="http://schemas.microsoft.com/office/drawing/2014/main" id="{3CA5A2B2-B2B3-44C8-984F-8DAA5B5975B5}"/>
            </a:ext>
          </a:extLst>
        </xdr:cNvPr>
        <xdr:cNvSpPr/>
      </xdr:nvSpPr>
      <xdr:spPr>
        <a:xfrm>
          <a:off x="735263" y="136174"/>
          <a:ext cx="13395158" cy="933300"/>
        </a:xfrm>
        <a:prstGeom prst="rect">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Coffee Sales Dashboard</a:t>
          </a:r>
        </a:p>
      </xdr:txBody>
    </xdr:sp>
    <xdr:clientData/>
  </xdr:twoCellAnchor>
  <xdr:twoCellAnchor>
    <xdr:from>
      <xdr:col>3</xdr:col>
      <xdr:colOff>0</xdr:colOff>
      <xdr:row>18</xdr:row>
      <xdr:rowOff>0</xdr:rowOff>
    </xdr:from>
    <xdr:to>
      <xdr:col>17</xdr:col>
      <xdr:colOff>0</xdr:colOff>
      <xdr:row>49</xdr:row>
      <xdr:rowOff>176456</xdr:rowOff>
    </xdr:to>
    <xdr:graphicFrame macro="">
      <xdr:nvGraphicFramePr>
        <xdr:cNvPr id="13" name="Chart 12">
          <a:extLst>
            <a:ext uri="{FF2B5EF4-FFF2-40B4-BE49-F238E27FC236}">
              <a16:creationId xmlns:a16="http://schemas.microsoft.com/office/drawing/2014/main" id="{86634444-69DC-41DB-A408-A226A83F4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33</xdr:row>
      <xdr:rowOff>0</xdr:rowOff>
    </xdr:from>
    <xdr:to>
      <xdr:col>26</xdr:col>
      <xdr:colOff>0</xdr:colOff>
      <xdr:row>50</xdr:row>
      <xdr:rowOff>17074</xdr:rowOff>
    </xdr:to>
    <xdr:graphicFrame macro="">
      <xdr:nvGraphicFramePr>
        <xdr:cNvPr id="15" name="Chart 14">
          <a:extLst>
            <a:ext uri="{FF2B5EF4-FFF2-40B4-BE49-F238E27FC236}">
              <a16:creationId xmlns:a16="http://schemas.microsoft.com/office/drawing/2014/main" id="{248E4209-9485-418A-9E66-88E2C3D23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18</xdr:row>
      <xdr:rowOff>2176</xdr:rowOff>
    </xdr:from>
    <xdr:to>
      <xdr:col>26</xdr:col>
      <xdr:colOff>0</xdr:colOff>
      <xdr:row>32</xdr:row>
      <xdr:rowOff>0</xdr:rowOff>
    </xdr:to>
    <xdr:graphicFrame macro="">
      <xdr:nvGraphicFramePr>
        <xdr:cNvPr id="16" name="Chart 15">
          <a:extLst>
            <a:ext uri="{FF2B5EF4-FFF2-40B4-BE49-F238E27FC236}">
              <a16:creationId xmlns:a16="http://schemas.microsoft.com/office/drawing/2014/main" id="{1EE2745E-996D-427B-93FC-1A3823DFA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0</xdr:row>
      <xdr:rowOff>133683</xdr:rowOff>
    </xdr:from>
    <xdr:to>
      <xdr:col>2</xdr:col>
      <xdr:colOff>0</xdr:colOff>
      <xdr:row>56</xdr:row>
      <xdr:rowOff>0</xdr:rowOff>
    </xdr:to>
    <xdr:sp macro="" textlink="">
      <xdr:nvSpPr>
        <xdr:cNvPr id="2" name="Rectangle 1">
          <a:extLst>
            <a:ext uri="{FF2B5EF4-FFF2-40B4-BE49-F238E27FC236}">
              <a16:creationId xmlns:a16="http://schemas.microsoft.com/office/drawing/2014/main" id="{17D507B8-4233-4F44-A533-390782A91618}"/>
            </a:ext>
          </a:extLst>
        </xdr:cNvPr>
        <xdr:cNvSpPr/>
      </xdr:nvSpPr>
      <xdr:spPr>
        <a:xfrm>
          <a:off x="120316" y="133683"/>
          <a:ext cx="614947" cy="10026317"/>
        </a:xfrm>
        <a:prstGeom prst="rect">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0</xdr:colOff>
      <xdr:row>1</xdr:row>
      <xdr:rowOff>0</xdr:rowOff>
    </xdr:from>
    <xdr:to>
      <xdr:col>28</xdr:col>
      <xdr:colOff>0</xdr:colOff>
      <xdr:row>56</xdr:row>
      <xdr:rowOff>0</xdr:rowOff>
    </xdr:to>
    <xdr:sp macro="" textlink="">
      <xdr:nvSpPr>
        <xdr:cNvPr id="14" name="Rectangle 13">
          <a:extLst>
            <a:ext uri="{FF2B5EF4-FFF2-40B4-BE49-F238E27FC236}">
              <a16:creationId xmlns:a16="http://schemas.microsoft.com/office/drawing/2014/main" id="{E411D3F5-E221-4A2E-94D7-C1818E3D70C6}"/>
            </a:ext>
          </a:extLst>
        </xdr:cNvPr>
        <xdr:cNvSpPr/>
      </xdr:nvSpPr>
      <xdr:spPr>
        <a:xfrm>
          <a:off x="14250737" y="133684"/>
          <a:ext cx="614947" cy="10026316"/>
        </a:xfrm>
        <a:prstGeom prst="rect">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13372</xdr:colOff>
      <xdr:row>51</xdr:row>
      <xdr:rowOff>0</xdr:rowOff>
    </xdr:from>
    <xdr:to>
      <xdr:col>27</xdr:col>
      <xdr:colOff>13372</xdr:colOff>
      <xdr:row>55</xdr:row>
      <xdr:rowOff>184669</xdr:rowOff>
    </xdr:to>
    <xdr:sp macro="" textlink="">
      <xdr:nvSpPr>
        <xdr:cNvPr id="17" name="Rectangle 16">
          <a:extLst>
            <a:ext uri="{FF2B5EF4-FFF2-40B4-BE49-F238E27FC236}">
              <a16:creationId xmlns:a16="http://schemas.microsoft.com/office/drawing/2014/main" id="{6BFF2FDB-C9C7-41F2-BB3F-FE7BA3C34A7C}"/>
            </a:ext>
          </a:extLst>
        </xdr:cNvPr>
        <xdr:cNvSpPr/>
      </xdr:nvSpPr>
      <xdr:spPr>
        <a:xfrm>
          <a:off x="748635" y="9224211"/>
          <a:ext cx="13515474" cy="933300"/>
        </a:xfrm>
        <a:prstGeom prst="rect">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5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179070</xdr:rowOff>
    </xdr:from>
    <xdr:to>
      <xdr:col>15</xdr:col>
      <xdr:colOff>0</xdr:colOff>
      <xdr:row>16</xdr:row>
      <xdr:rowOff>179070</xdr:rowOff>
    </xdr:to>
    <xdr:graphicFrame macro="">
      <xdr:nvGraphicFramePr>
        <xdr:cNvPr id="3" name="Chart 2">
          <a:extLst>
            <a:ext uri="{FF2B5EF4-FFF2-40B4-BE49-F238E27FC236}">
              <a16:creationId xmlns:a16="http://schemas.microsoft.com/office/drawing/2014/main" id="{6AAEDBCE-ABE3-4449-8021-E6C5D752B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2</xdr:row>
      <xdr:rowOff>3810</xdr:rowOff>
    </xdr:from>
    <xdr:to>
      <xdr:col>11</xdr:col>
      <xdr:colOff>0</xdr:colOff>
      <xdr:row>17</xdr:row>
      <xdr:rowOff>3810</xdr:rowOff>
    </xdr:to>
    <xdr:graphicFrame macro="">
      <xdr:nvGraphicFramePr>
        <xdr:cNvPr id="9" name="Chart 8">
          <a:extLst>
            <a:ext uri="{FF2B5EF4-FFF2-40B4-BE49-F238E27FC236}">
              <a16:creationId xmlns:a16="http://schemas.microsoft.com/office/drawing/2014/main" id="{2917937A-1669-4236-9E61-E16AACC6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3810</xdr:rowOff>
    </xdr:from>
    <xdr:to>
      <xdr:col>11</xdr:col>
      <xdr:colOff>15240</xdr:colOff>
      <xdr:row>20</xdr:row>
      <xdr:rowOff>167640</xdr:rowOff>
    </xdr:to>
    <xdr:graphicFrame macro="">
      <xdr:nvGraphicFramePr>
        <xdr:cNvPr id="2" name="Chart 1">
          <a:extLst>
            <a:ext uri="{FF2B5EF4-FFF2-40B4-BE49-F238E27FC236}">
              <a16:creationId xmlns:a16="http://schemas.microsoft.com/office/drawing/2014/main" id="{53442E7C-97CC-4F33-AE4F-381B6CA7F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Chaudhary" refreshedDate="45282.835287731483" createdVersion="7" refreshedVersion="7" minRefreshableVersion="3" recordCount="1000" xr:uid="{4DFEF530-4CB9-4FA1-B9A9-7A13385E4C4E}">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6486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81B18-D375-4B12-9C86-DA632E95056E}"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2">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881BF4-C908-42F8-9D2D-2F56647DDD85}"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5">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10">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7" count="1" selected="0">
            <x v="2"/>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D0291A-BCFF-4A60-A8CD-4B82E946884F}"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5">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dataFields>
  <chartFormats count="5">
    <chartFormat chart="5"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982277F-C3CF-4296-84B6-66513D47EDE9}" sourceName="Size">
  <pivotTables>
    <pivotTable tabId="18" name="TotalSales"/>
    <pivotTable tabId="19" name="TotalSales"/>
    <pivotTable tabId="20" name="TotalSales"/>
  </pivotTables>
  <data>
    <tabular pivotCacheId="11648640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6DCEE88-53C9-4F62-9D2B-661B360D4319}" sourceName="Loyalty Card">
  <pivotTables>
    <pivotTable tabId="18" name="TotalSales"/>
    <pivotTable tabId="19" name="TotalSales"/>
    <pivotTable tabId="20" name="TotalSales"/>
  </pivotTables>
  <data>
    <tabular pivotCacheId="11648640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6F3A763-F241-4753-935C-6E1D215B0EA7}" sourceName="Roast Type Name">
  <pivotTables>
    <pivotTable tabId="18" name="TotalSales"/>
    <pivotTable tabId="19" name="TotalSales"/>
    <pivotTable tabId="20" name="TotalSales"/>
  </pivotTables>
  <data>
    <tabular pivotCacheId="11648640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3C9892A-27EE-4538-B61B-7BEECD35563D}" cache="Slicer_Size" caption="Size" columnCount="2" style="SlicerStyleDark5" rowHeight="234950"/>
  <slicer name="Loyalty Card" xr10:uid="{88266A04-7051-45FA-BCCB-4C055A1C1BFB}" cache="Slicer_Loyalty_Card" caption="Loyalty Card" style="SlicerStyleDark5" rowHeight="234950"/>
  <slicer name="Roast Type Name" xr10:uid="{1B5D589F-322D-40A7-8A42-7BB8199F4488}" cache="Slicer_Roast_Type_Name" caption="Roast Type Name" columnCount="3"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AEA82-7C41-4339-8A5A-54B2EC560051}" name="Orders" displayName="Orders" ref="A1:P1001" totalsRowShown="0" headerRowDxfId="11">
  <autoFilter ref="A1:P1001" xr:uid="{232AEA82-7C41-4339-8A5A-54B2EC560051}"/>
  <tableColumns count="16">
    <tableColumn id="1" xr3:uid="{E904D291-5C8A-474A-AA6C-DEFFB4CA95AA}" name="Order ID" dataDxfId="10"/>
    <tableColumn id="2" xr3:uid="{5FDEBF61-E549-4119-8601-21C19C929CA4}" name="Order Date" dataDxfId="9"/>
    <tableColumn id="3" xr3:uid="{4006A8E1-1B43-447D-8572-4683C1951D75}" name="Customer ID" dataDxfId="8"/>
    <tableColumn id="4" xr3:uid="{2F723555-F727-4EC6-AE45-BF00E011AC39}" name="Product ID"/>
    <tableColumn id="5" xr3:uid="{5F9F89F8-2086-4EE8-AB35-4AD5CA6C6EAB}" name="Quantity" dataDxfId="7"/>
    <tableColumn id="6" xr3:uid="{315F4458-239C-4E00-A4A1-7CD91B560FC8}" name="Customer Name" dataDxfId="6">
      <calculatedColumnFormula>_xlfn.XLOOKUP(C2,customers!$A$1:$A$1001,customers!$B$1:$B$1001,,0)</calculatedColumnFormula>
    </tableColumn>
    <tableColumn id="7" xr3:uid="{3229E71F-CBC6-4754-988B-D19C1868447E}" name="Email" dataDxfId="5">
      <calculatedColumnFormula>IF(_xlfn.XLOOKUP(C2,customers!$A$1:$A$1001,customers!$C$1:$C$1001,,0)=0,"",(_xlfn.XLOOKUP(C2,customers!$A$1:$A$1001,customers!$C$1:$C$1001,,0)))</calculatedColumnFormula>
    </tableColumn>
    <tableColumn id="8" xr3:uid="{A4F344C8-9A7B-4AE4-9033-7D01BA228846}" name="Country" dataDxfId="4">
      <calculatedColumnFormula>_xlfn.XLOOKUP(C2,customers!$A$1:$A$1001,customers!$G$1:$G$1001,,0)</calculatedColumnFormula>
    </tableColumn>
    <tableColumn id="9" xr3:uid="{FB21C5A3-88FE-433E-B140-9F754DEB8A18}" name="Coffee Type">
      <calculatedColumnFormula>INDEX(products!$A$1:$G$49,MATCH(orders!$D2,products!$A$1:$A$49,0),MATCH(orders!I$1,products!$A$1:$G$1,0))</calculatedColumnFormula>
    </tableColumn>
    <tableColumn id="10" xr3:uid="{34EC0B15-CDDB-41F5-8101-8FEA0169D519}" name="Roast Type">
      <calculatedColumnFormula>INDEX(products!$A$1:$G$49,MATCH(orders!$D2,products!$A$1:$A$49,0),MATCH(orders!J$1,products!$A$1:$G$1,0))</calculatedColumnFormula>
    </tableColumn>
    <tableColumn id="11" xr3:uid="{0A118393-A62E-4FFC-9EDB-E8D689F4F684}" name="Size" dataDxfId="3">
      <calculatedColumnFormula>INDEX(products!$A$1:$G$49,MATCH(orders!$D2,products!$A$1:$A$49,0),MATCH(orders!K$1,products!$A$1:$G$1,0))</calculatedColumnFormula>
    </tableColumn>
    <tableColumn id="12" xr3:uid="{C2AC34B0-21C5-4B59-9F2B-532652692428}" name="Unit Price" dataDxfId="2" dataCellStyle="Currency">
      <calculatedColumnFormula>INDEX(products!$A$1:$G$49,MATCH(orders!$D2,products!$A$1:$A$49,0),MATCH(orders!L$1,products!$A$1:$G$1,0))</calculatedColumnFormula>
    </tableColumn>
    <tableColumn id="13" xr3:uid="{9E5A07B9-9C07-480F-8BD3-64FF3C5FF1E5}" name="Sales" dataDxfId="1" dataCellStyle="Currency">
      <calculatedColumnFormula>L2*E2</calculatedColumnFormula>
    </tableColumn>
    <tableColumn id="14" xr3:uid="{172AD123-1C22-4F4F-AF42-796D0B965E54}" name="Coffee Type Name">
      <calculatedColumnFormula>IF(I2="Rob","Robusta",IF(I2="Exc","Excelsa",IF(I2="Ara","Arabica",IF(I2="Lib","Liberica",""))))</calculatedColumnFormula>
    </tableColumn>
    <tableColumn id="15" xr3:uid="{4A5220DC-0C7A-4198-990F-66CE400166AE}" name="Roast Type Name">
      <calculatedColumnFormula>IF(J2="L","Light",IF(J2="M","Medium",IF(J2="D","Dark","")))</calculatedColumnFormula>
    </tableColumn>
    <tableColumn id="16" xr3:uid="{C59D02C8-6556-4E6D-A212-1DB7E9DD7D39}" name="Loyalty Card" dataDxfId="0">
      <calculatedColumnFormula>_xlfn.XLOOKUP(Orders[[#This Row],[Customer ID]],customers!$A$1:$A$1001,customers!$I$1:$I$1001,,0)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6EDCBD-089F-4A5B-8CEE-5CEAE86C14DF}" sourceName="Order Date">
  <pivotTables>
    <pivotTable tabId="18" name="TotalSales"/>
    <pivotTable tabId="19" name="TotalSales"/>
    <pivotTable tabId="20" name="TotalSales"/>
  </pivotTables>
  <state minimalRefreshVersion="6" lastRefreshVersion="6" pivotCacheId="11648640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9067446-ABCA-4781-8975-35F95C56D1D3}" cache="NativeTimeline_Order_Date" caption="Order Date" level="2" selectionLevel="2" scrollPosition="2019-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EA2E5-5875-49E5-9EDB-23CEC2F6CB9E}">
  <dimension ref="A1:A51"/>
  <sheetViews>
    <sheetView showGridLines="0" showRowColHeaders="0" tabSelected="1" zoomScale="57" zoomScaleNormal="85" workbookViewId="0">
      <selection activeCell="AG4" sqref="AG4:AH4"/>
    </sheetView>
  </sheetViews>
  <sheetFormatPr defaultRowHeight="14.4" x14ac:dyDescent="0.3"/>
  <cols>
    <col min="1" max="1" width="1.77734375" customWidth="1"/>
    <col min="2" max="2" width="8.88671875" customWidth="1"/>
    <col min="3" max="3" width="1.77734375" customWidth="1"/>
    <col min="18" max="18" width="1.77734375" customWidth="1"/>
    <col min="23" max="23" width="1.77734375" customWidth="1"/>
    <col min="27" max="27" width="1.77734375" customWidth="1"/>
  </cols>
  <sheetData>
    <row r="1" ht="10.95" customHeight="1" x14ac:dyDescent="0.3"/>
    <row r="6" customFormat="1" x14ac:dyDescent="0.3"/>
    <row r="7" customFormat="1" ht="9" customHeight="1" x14ac:dyDescent="0.3"/>
    <row r="12" customFormat="1" ht="9" customHeight="1" x14ac:dyDescent="0.3"/>
    <row r="17" customFormat="1" x14ac:dyDescent="0.3"/>
    <row r="18" customFormat="1" ht="9" customHeight="1" x14ac:dyDescent="0.3"/>
    <row r="33" customFormat="1" ht="9" customHeight="1" x14ac:dyDescent="0.3"/>
    <row r="51" ht="9"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526A-B1AC-4113-A7D4-F36801589B69}">
  <dimension ref="A3:F48"/>
  <sheetViews>
    <sheetView workbookViewId="0">
      <selection activeCell="I25" sqref="I25"/>
    </sheetView>
  </sheetViews>
  <sheetFormatPr defaultRowHeight="14.4" x14ac:dyDescent="0.3"/>
  <cols>
    <col min="1" max="1" width="12.5546875" bestFit="1" customWidth="1"/>
    <col min="2" max="2" width="12.3320312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6219</v>
      </c>
      <c r="C3" s="6" t="s">
        <v>6196</v>
      </c>
    </row>
    <row r="4" spans="1:6" x14ac:dyDescent="0.3">
      <c r="A4" s="6" t="s">
        <v>6214</v>
      </c>
      <c r="B4" s="6" t="s">
        <v>1</v>
      </c>
      <c r="C4" t="s">
        <v>6215</v>
      </c>
      <c r="D4" t="s">
        <v>6216</v>
      </c>
      <c r="E4" t="s">
        <v>6217</v>
      </c>
      <c r="F4" t="s">
        <v>6218</v>
      </c>
    </row>
    <row r="5" spans="1:6" x14ac:dyDescent="0.3">
      <c r="A5" t="s">
        <v>6198</v>
      </c>
      <c r="B5" s="7" t="s">
        <v>6199</v>
      </c>
      <c r="C5" s="9">
        <v>186.85499999999999</v>
      </c>
      <c r="D5" s="9">
        <v>305.97000000000003</v>
      </c>
      <c r="E5" s="9">
        <v>213.15999999999997</v>
      </c>
      <c r="F5" s="9">
        <v>123</v>
      </c>
    </row>
    <row r="6" spans="1:6" x14ac:dyDescent="0.3">
      <c r="B6" s="7" t="s">
        <v>6200</v>
      </c>
      <c r="C6" s="9">
        <v>251.96499999999997</v>
      </c>
      <c r="D6" s="9">
        <v>129.46</v>
      </c>
      <c r="E6" s="9">
        <v>434.03999999999996</v>
      </c>
      <c r="F6" s="9">
        <v>171.93999999999997</v>
      </c>
    </row>
    <row r="7" spans="1:6" x14ac:dyDescent="0.3">
      <c r="B7" s="7" t="s">
        <v>6201</v>
      </c>
      <c r="C7" s="9">
        <v>224.94499999999999</v>
      </c>
      <c r="D7" s="9">
        <v>349.12</v>
      </c>
      <c r="E7" s="9">
        <v>321.04000000000002</v>
      </c>
      <c r="F7" s="9">
        <v>126.035</v>
      </c>
    </row>
    <row r="8" spans="1:6" x14ac:dyDescent="0.3">
      <c r="B8" s="7" t="s">
        <v>6202</v>
      </c>
      <c r="C8" s="9">
        <v>307.12</v>
      </c>
      <c r="D8" s="9">
        <v>681.07499999999993</v>
      </c>
      <c r="E8" s="9">
        <v>533.70499999999993</v>
      </c>
      <c r="F8" s="9">
        <v>158.85</v>
      </c>
    </row>
    <row r="9" spans="1:6" x14ac:dyDescent="0.3">
      <c r="B9" s="7" t="s">
        <v>6203</v>
      </c>
      <c r="C9" s="9">
        <v>53.664999999999992</v>
      </c>
      <c r="D9" s="9">
        <v>83.025000000000006</v>
      </c>
      <c r="E9" s="9">
        <v>193.83499999999998</v>
      </c>
      <c r="F9" s="9">
        <v>68.039999999999992</v>
      </c>
    </row>
    <row r="10" spans="1:6" x14ac:dyDescent="0.3">
      <c r="B10" s="7" t="s">
        <v>6204</v>
      </c>
      <c r="C10" s="9">
        <v>163.01999999999998</v>
      </c>
      <c r="D10" s="9">
        <v>678.3599999999999</v>
      </c>
      <c r="E10" s="9">
        <v>171.04500000000002</v>
      </c>
      <c r="F10" s="9">
        <v>372.255</v>
      </c>
    </row>
    <row r="11" spans="1:6" x14ac:dyDescent="0.3">
      <c r="B11" s="7" t="s">
        <v>6205</v>
      </c>
      <c r="C11" s="9">
        <v>345.02</v>
      </c>
      <c r="D11" s="9">
        <v>273.86999999999995</v>
      </c>
      <c r="E11" s="9">
        <v>184.12999999999997</v>
      </c>
      <c r="F11" s="9">
        <v>201.11499999999998</v>
      </c>
    </row>
    <row r="12" spans="1:6" x14ac:dyDescent="0.3">
      <c r="B12" s="7" t="s">
        <v>6206</v>
      </c>
      <c r="C12" s="9">
        <v>334.89</v>
      </c>
      <c r="D12" s="9">
        <v>70.95</v>
      </c>
      <c r="E12" s="9">
        <v>134.23000000000002</v>
      </c>
      <c r="F12" s="9">
        <v>166.27499999999998</v>
      </c>
    </row>
    <row r="13" spans="1:6" x14ac:dyDescent="0.3">
      <c r="B13" s="7" t="s">
        <v>6207</v>
      </c>
      <c r="C13" s="9">
        <v>178.70999999999998</v>
      </c>
      <c r="D13" s="9">
        <v>166.1</v>
      </c>
      <c r="E13" s="9">
        <v>439.30999999999995</v>
      </c>
      <c r="F13" s="9">
        <v>492.9</v>
      </c>
    </row>
    <row r="14" spans="1:6" x14ac:dyDescent="0.3">
      <c r="B14" s="7" t="s">
        <v>6208</v>
      </c>
      <c r="C14" s="9">
        <v>301.98500000000001</v>
      </c>
      <c r="D14" s="9">
        <v>153.76499999999999</v>
      </c>
      <c r="E14" s="9">
        <v>215.55499999999998</v>
      </c>
      <c r="F14" s="9">
        <v>213.66499999999999</v>
      </c>
    </row>
    <row r="15" spans="1:6" x14ac:dyDescent="0.3">
      <c r="B15" s="7" t="s">
        <v>6209</v>
      </c>
      <c r="C15" s="9">
        <v>312.83499999999998</v>
      </c>
      <c r="D15" s="9">
        <v>63.249999999999993</v>
      </c>
      <c r="E15" s="9">
        <v>350.89500000000004</v>
      </c>
      <c r="F15" s="9">
        <v>96.405000000000001</v>
      </c>
    </row>
    <row r="16" spans="1:6" x14ac:dyDescent="0.3">
      <c r="B16" s="7" t="s">
        <v>6210</v>
      </c>
      <c r="C16" s="9">
        <v>265.62</v>
      </c>
      <c r="D16" s="9">
        <v>526.51499999999987</v>
      </c>
      <c r="E16" s="9">
        <v>187.06</v>
      </c>
      <c r="F16" s="9">
        <v>210.58999999999997</v>
      </c>
    </row>
    <row r="17" spans="1:6" x14ac:dyDescent="0.3">
      <c r="A17" t="s">
        <v>6211</v>
      </c>
      <c r="B17" s="7" t="s">
        <v>6199</v>
      </c>
      <c r="C17" s="9">
        <v>47.25</v>
      </c>
      <c r="D17" s="9">
        <v>65.805000000000007</v>
      </c>
      <c r="E17" s="9">
        <v>274.67500000000001</v>
      </c>
      <c r="F17" s="9">
        <v>179.22</v>
      </c>
    </row>
    <row r="18" spans="1:6" x14ac:dyDescent="0.3">
      <c r="B18" s="7" t="s">
        <v>6200</v>
      </c>
      <c r="C18" s="9">
        <v>745.44999999999993</v>
      </c>
      <c r="D18" s="9">
        <v>428.88499999999999</v>
      </c>
      <c r="E18" s="9">
        <v>194.17499999999998</v>
      </c>
      <c r="F18" s="9">
        <v>429.82999999999993</v>
      </c>
    </row>
    <row r="19" spans="1:6" x14ac:dyDescent="0.3">
      <c r="B19" s="7" t="s">
        <v>6201</v>
      </c>
      <c r="C19" s="9">
        <v>130.47</v>
      </c>
      <c r="D19" s="9">
        <v>271.48500000000001</v>
      </c>
      <c r="E19" s="9">
        <v>281.20499999999998</v>
      </c>
      <c r="F19" s="9">
        <v>231.63000000000002</v>
      </c>
    </row>
    <row r="20" spans="1:6" x14ac:dyDescent="0.3">
      <c r="B20" s="7" t="s">
        <v>6202</v>
      </c>
      <c r="C20" s="9">
        <v>27</v>
      </c>
      <c r="D20" s="9">
        <v>347.26</v>
      </c>
      <c r="E20" s="9">
        <v>147.51</v>
      </c>
      <c r="F20" s="9">
        <v>240.04</v>
      </c>
    </row>
    <row r="21" spans="1:6" x14ac:dyDescent="0.3">
      <c r="B21" s="7" t="s">
        <v>6203</v>
      </c>
      <c r="C21" s="9">
        <v>255.11499999999995</v>
      </c>
      <c r="D21" s="9">
        <v>541.73</v>
      </c>
      <c r="E21" s="9">
        <v>83.43</v>
      </c>
      <c r="F21" s="9">
        <v>59.079999999999991</v>
      </c>
    </row>
    <row r="22" spans="1:6" x14ac:dyDescent="0.3">
      <c r="B22" s="7" t="s">
        <v>6204</v>
      </c>
      <c r="C22" s="9">
        <v>584.78999999999985</v>
      </c>
      <c r="D22" s="9">
        <v>357.42999999999995</v>
      </c>
      <c r="E22" s="9">
        <v>355.34</v>
      </c>
      <c r="F22" s="9">
        <v>140.88</v>
      </c>
    </row>
    <row r="23" spans="1:6" x14ac:dyDescent="0.3">
      <c r="B23" s="7" t="s">
        <v>6205</v>
      </c>
      <c r="C23" s="9">
        <v>430.62</v>
      </c>
      <c r="D23" s="9">
        <v>227.42500000000001</v>
      </c>
      <c r="E23" s="9">
        <v>236.315</v>
      </c>
      <c r="F23" s="9">
        <v>414.58499999999992</v>
      </c>
    </row>
    <row r="24" spans="1:6" x14ac:dyDescent="0.3">
      <c r="B24" s="7" t="s">
        <v>6206</v>
      </c>
      <c r="C24" s="9">
        <v>22.5</v>
      </c>
      <c r="D24" s="9">
        <v>77.72</v>
      </c>
      <c r="E24" s="9">
        <v>60.5</v>
      </c>
      <c r="F24" s="9">
        <v>139.67999999999998</v>
      </c>
    </row>
    <row r="25" spans="1:6" x14ac:dyDescent="0.3">
      <c r="B25" s="7" t="s">
        <v>6207</v>
      </c>
      <c r="C25" s="9">
        <v>126.14999999999999</v>
      </c>
      <c r="D25" s="9">
        <v>195.11</v>
      </c>
      <c r="E25" s="9">
        <v>89.13</v>
      </c>
      <c r="F25" s="9">
        <v>302.65999999999997</v>
      </c>
    </row>
    <row r="26" spans="1:6" x14ac:dyDescent="0.3">
      <c r="B26" s="7" t="s">
        <v>6208</v>
      </c>
      <c r="C26" s="9">
        <v>376.03</v>
      </c>
      <c r="D26" s="9">
        <v>523.24</v>
      </c>
      <c r="E26" s="9">
        <v>440.96499999999997</v>
      </c>
      <c r="F26" s="9">
        <v>174.46999999999997</v>
      </c>
    </row>
    <row r="27" spans="1:6" x14ac:dyDescent="0.3">
      <c r="B27" s="7" t="s">
        <v>6209</v>
      </c>
      <c r="C27" s="9">
        <v>515.17999999999995</v>
      </c>
      <c r="D27" s="9">
        <v>142.56</v>
      </c>
      <c r="E27" s="9">
        <v>347.03999999999996</v>
      </c>
      <c r="F27" s="9">
        <v>104.08499999999999</v>
      </c>
    </row>
    <row r="28" spans="1:6" x14ac:dyDescent="0.3">
      <c r="B28" s="7" t="s">
        <v>6210</v>
      </c>
      <c r="C28" s="9">
        <v>95.859999999999985</v>
      </c>
      <c r="D28" s="9">
        <v>484.76</v>
      </c>
      <c r="E28" s="9">
        <v>94.17</v>
      </c>
      <c r="F28" s="9">
        <v>77.10499999999999</v>
      </c>
    </row>
    <row r="29" spans="1:6" x14ac:dyDescent="0.3">
      <c r="A29" t="s">
        <v>6212</v>
      </c>
      <c r="B29" s="7" t="s">
        <v>6199</v>
      </c>
      <c r="C29" s="9">
        <v>258.34500000000003</v>
      </c>
      <c r="D29" s="9">
        <v>139.625</v>
      </c>
      <c r="E29" s="9">
        <v>279.52000000000004</v>
      </c>
      <c r="F29" s="9">
        <v>160.19499999999999</v>
      </c>
    </row>
    <row r="30" spans="1:6" x14ac:dyDescent="0.3">
      <c r="B30" s="7" t="s">
        <v>6200</v>
      </c>
      <c r="C30" s="9">
        <v>342.2</v>
      </c>
      <c r="D30" s="9">
        <v>284.24999999999994</v>
      </c>
      <c r="E30" s="9">
        <v>251.83</v>
      </c>
      <c r="F30" s="9">
        <v>80.550000000000011</v>
      </c>
    </row>
    <row r="31" spans="1:6" x14ac:dyDescent="0.3">
      <c r="B31" s="7" t="s">
        <v>6201</v>
      </c>
      <c r="C31" s="9">
        <v>418.30499999999989</v>
      </c>
      <c r="D31" s="9">
        <v>468.125</v>
      </c>
      <c r="E31" s="9">
        <v>405.05500000000006</v>
      </c>
      <c r="F31" s="9">
        <v>253.15499999999997</v>
      </c>
    </row>
    <row r="32" spans="1:6" x14ac:dyDescent="0.3">
      <c r="B32" s="7" t="s">
        <v>6202</v>
      </c>
      <c r="C32" s="9">
        <v>102.32999999999998</v>
      </c>
      <c r="D32" s="9">
        <v>242.14000000000001</v>
      </c>
      <c r="E32" s="9">
        <v>554.875</v>
      </c>
      <c r="F32" s="9">
        <v>106.23999999999998</v>
      </c>
    </row>
    <row r="33" spans="1:6" x14ac:dyDescent="0.3">
      <c r="B33" s="7" t="s">
        <v>6203</v>
      </c>
      <c r="C33" s="9">
        <v>234.71999999999997</v>
      </c>
      <c r="D33" s="9">
        <v>133.08000000000001</v>
      </c>
      <c r="E33" s="9">
        <v>267.2</v>
      </c>
      <c r="F33" s="9">
        <v>272.68999999999994</v>
      </c>
    </row>
    <row r="34" spans="1:6" x14ac:dyDescent="0.3">
      <c r="B34" s="7" t="s">
        <v>6204</v>
      </c>
      <c r="C34" s="9">
        <v>430.39</v>
      </c>
      <c r="D34" s="9">
        <v>136.20500000000001</v>
      </c>
      <c r="E34" s="9">
        <v>209.6</v>
      </c>
      <c r="F34" s="9">
        <v>88.334999999999994</v>
      </c>
    </row>
    <row r="35" spans="1:6" x14ac:dyDescent="0.3">
      <c r="B35" s="7" t="s">
        <v>6205</v>
      </c>
      <c r="C35" s="9">
        <v>109.005</v>
      </c>
      <c r="D35" s="9">
        <v>393.57499999999999</v>
      </c>
      <c r="E35" s="9">
        <v>61.034999999999997</v>
      </c>
      <c r="F35" s="9">
        <v>199.48999999999998</v>
      </c>
    </row>
    <row r="36" spans="1:6" x14ac:dyDescent="0.3">
      <c r="B36" s="7" t="s">
        <v>6206</v>
      </c>
      <c r="C36" s="9">
        <v>287.52499999999998</v>
      </c>
      <c r="D36" s="9">
        <v>288.67</v>
      </c>
      <c r="E36" s="9">
        <v>125.58</v>
      </c>
      <c r="F36" s="9">
        <v>374.13499999999999</v>
      </c>
    </row>
    <row r="37" spans="1:6" x14ac:dyDescent="0.3">
      <c r="B37" s="7" t="s">
        <v>6207</v>
      </c>
      <c r="C37" s="9">
        <v>840.92999999999984</v>
      </c>
      <c r="D37" s="9">
        <v>409.875</v>
      </c>
      <c r="E37" s="9">
        <v>171.32999999999998</v>
      </c>
      <c r="F37" s="9">
        <v>221.43999999999997</v>
      </c>
    </row>
    <row r="38" spans="1:6" x14ac:dyDescent="0.3">
      <c r="B38" s="7" t="s">
        <v>6208</v>
      </c>
      <c r="C38" s="9">
        <v>299.07</v>
      </c>
      <c r="D38" s="9">
        <v>260.32499999999999</v>
      </c>
      <c r="E38" s="9">
        <v>584.64</v>
      </c>
      <c r="F38" s="9">
        <v>256.36500000000001</v>
      </c>
    </row>
    <row r="39" spans="1:6" x14ac:dyDescent="0.3">
      <c r="B39" s="7" t="s">
        <v>6209</v>
      </c>
      <c r="C39" s="9">
        <v>323.32499999999999</v>
      </c>
      <c r="D39" s="9">
        <v>565.57000000000005</v>
      </c>
      <c r="E39" s="9">
        <v>537.80999999999995</v>
      </c>
      <c r="F39" s="9">
        <v>189.47499999999999</v>
      </c>
    </row>
    <row r="40" spans="1:6" x14ac:dyDescent="0.3">
      <c r="B40" s="7" t="s">
        <v>6210</v>
      </c>
      <c r="C40" s="9">
        <v>399.48499999999996</v>
      </c>
      <c r="D40" s="9">
        <v>148.19999999999999</v>
      </c>
      <c r="E40" s="9">
        <v>388.21999999999997</v>
      </c>
      <c r="F40" s="9">
        <v>212.07499999999999</v>
      </c>
    </row>
    <row r="41" spans="1:6" x14ac:dyDescent="0.3">
      <c r="A41" t="s">
        <v>6213</v>
      </c>
      <c r="B41" s="7" t="s">
        <v>6199</v>
      </c>
      <c r="C41" s="9">
        <v>112.69499999999999</v>
      </c>
      <c r="D41" s="9">
        <v>166.32</v>
      </c>
      <c r="E41" s="9">
        <v>843.71499999999992</v>
      </c>
      <c r="F41" s="9">
        <v>146.685</v>
      </c>
    </row>
    <row r="42" spans="1:6" x14ac:dyDescent="0.3">
      <c r="B42" s="7" t="s">
        <v>6200</v>
      </c>
      <c r="C42" s="9">
        <v>114.87999999999998</v>
      </c>
      <c r="D42" s="9">
        <v>133.815</v>
      </c>
      <c r="E42" s="9">
        <v>91.175000000000011</v>
      </c>
      <c r="F42" s="9">
        <v>53.759999999999991</v>
      </c>
    </row>
    <row r="43" spans="1:6" x14ac:dyDescent="0.3">
      <c r="B43" s="7" t="s">
        <v>6201</v>
      </c>
      <c r="C43" s="9">
        <v>277.76</v>
      </c>
      <c r="D43" s="9">
        <v>175.41</v>
      </c>
      <c r="E43" s="9">
        <v>462.50999999999993</v>
      </c>
      <c r="F43" s="9">
        <v>399.52499999999998</v>
      </c>
    </row>
    <row r="44" spans="1:6" x14ac:dyDescent="0.3">
      <c r="B44" s="7" t="s">
        <v>6202</v>
      </c>
      <c r="C44" s="9">
        <v>197.89499999999998</v>
      </c>
      <c r="D44" s="9">
        <v>289.755</v>
      </c>
      <c r="E44" s="9">
        <v>88.545000000000002</v>
      </c>
      <c r="F44" s="9">
        <v>200.25499999999997</v>
      </c>
    </row>
    <row r="45" spans="1:6" x14ac:dyDescent="0.3">
      <c r="B45" s="7" t="s">
        <v>6203</v>
      </c>
      <c r="C45" s="9">
        <v>193.11499999999998</v>
      </c>
      <c r="D45" s="9">
        <v>212.49499999999998</v>
      </c>
      <c r="E45" s="9">
        <v>292.29000000000002</v>
      </c>
      <c r="F45" s="9">
        <v>304.46999999999997</v>
      </c>
    </row>
    <row r="46" spans="1:6" x14ac:dyDescent="0.3">
      <c r="B46" s="7" t="s">
        <v>6204</v>
      </c>
      <c r="C46" s="9">
        <v>179.79</v>
      </c>
      <c r="D46" s="9">
        <v>426.2</v>
      </c>
      <c r="E46" s="9">
        <v>170.08999999999997</v>
      </c>
      <c r="F46" s="9">
        <v>379.31</v>
      </c>
    </row>
    <row r="47" spans="1:6" x14ac:dyDescent="0.3">
      <c r="B47" s="7" t="s">
        <v>6205</v>
      </c>
      <c r="C47" s="9">
        <v>247.28999999999996</v>
      </c>
      <c r="D47" s="9">
        <v>246.685</v>
      </c>
      <c r="E47" s="9">
        <v>271.05499999999995</v>
      </c>
      <c r="F47" s="9">
        <v>141.69999999999999</v>
      </c>
    </row>
    <row r="48" spans="1:6" x14ac:dyDescent="0.3">
      <c r="B48" s="7" t="s">
        <v>6206</v>
      </c>
      <c r="C48" s="9">
        <v>116.39499999999998</v>
      </c>
      <c r="D48" s="9">
        <v>41.25</v>
      </c>
      <c r="E48" s="9">
        <v>15.54</v>
      </c>
      <c r="F48" s="9">
        <v>71.06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F0C3-CB80-4981-A769-EA065916580D}">
  <dimension ref="A3:B6"/>
  <sheetViews>
    <sheetView workbookViewId="0">
      <selection activeCell="R9" sqref="R9"/>
    </sheetView>
  </sheetViews>
  <sheetFormatPr defaultRowHeight="14.4" x14ac:dyDescent="0.3"/>
  <cols>
    <col min="1" max="1" width="14" bestFit="1" customWidth="1"/>
    <col min="2" max="2" width="11.6640625" bestFit="1" customWidth="1"/>
    <col min="3" max="3" width="7.44140625" bestFit="1" customWidth="1"/>
    <col min="4" max="6" width="7.88671875" bestFit="1" customWidth="1"/>
  </cols>
  <sheetData>
    <row r="3" spans="1:2" x14ac:dyDescent="0.3">
      <c r="A3" s="6" t="s">
        <v>7</v>
      </c>
      <c r="B3" t="s">
        <v>6219</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D3E7-3769-4178-9704-ED2CF1E8483B}">
  <dimension ref="A3:B8"/>
  <sheetViews>
    <sheetView workbookViewId="0">
      <selection activeCell="F7" sqref="F7"/>
    </sheetView>
  </sheetViews>
  <sheetFormatPr defaultRowHeight="14.4" x14ac:dyDescent="0.3"/>
  <cols>
    <col min="1" max="1" width="16.88671875" bestFit="1" customWidth="1"/>
    <col min="2" max="2" width="11.6640625" bestFit="1" customWidth="1"/>
    <col min="3" max="3" width="7.44140625" bestFit="1" customWidth="1"/>
    <col min="4" max="6" width="7.88671875" bestFit="1" customWidth="1"/>
  </cols>
  <sheetData>
    <row r="3" spans="1:2" x14ac:dyDescent="0.3">
      <c r="A3" s="6" t="s">
        <v>4</v>
      </c>
      <c r="B3" t="s">
        <v>6219</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Normal="100" workbookViewId="0">
      <selection activeCell="P3" sqref="P3"/>
    </sheetView>
  </sheetViews>
  <sheetFormatPr defaultRowHeight="14.4" x14ac:dyDescent="0.3"/>
  <cols>
    <col min="1" max="1" width="15.21875" bestFit="1" customWidth="1"/>
    <col min="2" max="2" width="12.33203125" bestFit="1" customWidth="1"/>
    <col min="3" max="3" width="16" bestFit="1" customWidth="1"/>
    <col min="4" max="4" width="12.109375" bestFit="1" customWidth="1"/>
    <col min="5" max="5" width="10.5546875" bestFit="1" customWidth="1"/>
    <col min="6" max="6" width="21.77734375" bestFit="1" customWidth="1"/>
    <col min="7" max="7" width="35.5546875" bestFit="1" customWidth="1"/>
    <col min="8" max="8" width="14" bestFit="1" customWidth="1"/>
    <col min="9" max="9" width="13.33203125" bestFit="1" customWidth="1"/>
    <col min="10" max="10" width="12.44140625" bestFit="1" customWidth="1"/>
    <col min="11" max="11" width="6.44140625" bestFit="1" customWidth="1"/>
    <col min="12" max="12" width="11.33203125" bestFit="1" customWidth="1"/>
    <col min="13" max="13" width="8.6640625" bestFit="1" customWidth="1"/>
    <col min="14" max="14" width="18.88671875" bestFit="1" customWidth="1"/>
    <col min="15" max="15" width="18" bestFit="1"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IF(J2="L","Light",IF(J2="M","Medium",IF(J2="D","Dark","")))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IF(J3="L","Light",IF(J3="M","Medium",IF(J3="D","Dark","")))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IF(J67="L","Light",IF(J67="M","Medium",IF(J67="D","Dark","")))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IF(J131="L","Light",IF(J131="M","Medium",IF(J131="D","Dark","")))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IF(J195="L","Light",IF(J195="M","Medium",IF(J195="D","Dark","")))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IF(J259="L","Light",IF(J259="M","Medium",IF(J259="D","Dark","")))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IF(J323="L","Light",IF(J323="M","Medium",IF(J323="D","Dark","")))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IF(J387="L","Light",IF(J387="M","Medium",IF(J387="D","Dark","")))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IF(J451="L","Light",IF(J451="M","Medium",IF(J451="D","Dark","")))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IF(J515="L","Light",IF(J515="M","Medium",IF(J515="D","Dark","")))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IF(J579="L","Light",IF(J579="M","Medium",IF(J579="D","Dark","")))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IF(J643="L","Light",IF(J643="M","Medium",IF(J643="D","Dark","")))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IF(J707="L","Light",IF(J707="M","Medium",IF(J707="D","Dark","")))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IF(J771="L","Light",IF(J771="M","Medium",IF(J771="D","Dark","")))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IF(J835="L","Light",IF(J835="M","Medium",IF(J835="D","Dark","")))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IF(J899="L","Light",IF(J899="M","Medium",IF(J899="D","Dark","")))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IF(J963="L","Light",IF(J963="M","Medium",IF(J963="D","Dark","")))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4"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U5" sqref="U5"/>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Vishwas Chaudhary</dc:creator>
  <cp:keywords/>
  <dc:description/>
  <cp:lastModifiedBy>Vishwas Chaudhary</cp:lastModifiedBy>
  <cp:revision/>
  <dcterms:created xsi:type="dcterms:W3CDTF">2022-11-26T09:51:45Z</dcterms:created>
  <dcterms:modified xsi:type="dcterms:W3CDTF">2023-12-23T05:35:26Z</dcterms:modified>
  <cp:category/>
  <cp:contentStatus/>
</cp:coreProperties>
</file>